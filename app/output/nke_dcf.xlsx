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Inputs" sheetId="2" state="visible" r:id="rId4"/>
    <sheet name="Historicals" sheetId="3" state="visible" r:id="rId5"/>
    <sheet name="WACC" sheetId="4" state="visible" r:id="rId6"/>
    <sheet name="DC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<sst xmlns="http://schemas.openxmlformats.org/spreadsheetml/2006/main" count="167" uniqueCount="111">
  <si>
    <t xml:space="preserve">key</t>
  </si>
  <si>
    <t xml:space="preserve">value</t>
  </si>
  <si>
    <t xml:space="preserve">risk_free_rate</t>
  </si>
  <si>
    <t xml:space="preserve">equity_risk_premium</t>
  </si>
  <si>
    <t xml:space="preserve">beta</t>
  </si>
  <si>
    <t xml:space="preserve">pre_tax_cost_of_debt</t>
  </si>
  <si>
    <t xml:space="preserve">terminal_growth_rate</t>
  </si>
  <si>
    <t xml:space="preserve">explicit_forecast_years</t>
  </si>
  <si>
    <t xml:space="preserve">market_price</t>
  </si>
  <si>
    <t xml:space="preserve">id</t>
  </si>
  <si>
    <t xml:space="preserve">source_file</t>
  </si>
  <si>
    <t xml:space="preserve">page</t>
  </si>
  <si>
    <t xml:space="preserve">revenue|FY-2</t>
  </si>
  <si>
    <t xml:space="preserve">8268d305-Nike-Inc-2026-10K.pdf.txt</t>
  </si>
  <si>
    <t xml:space="preserve">pretax_income|FY-2</t>
  </si>
  <si>
    <t xml:space="preserve">interest_net|FY-2</t>
  </si>
  <si>
    <t xml:space="preserve">tax_expense|FY-2</t>
  </si>
  <si>
    <t xml:space="preserve">depreciation|FY-2</t>
  </si>
  <si>
    <t xml:space="preserve">capex|FY-2</t>
  </si>
  <si>
    <t xml:space="preserve">receivables|FY-2</t>
  </si>
  <si>
    <t xml:space="preserve">aa16acd6-NKE_10K_2025.pdf.txt</t>
  </si>
  <si>
    <t xml:space="preserve">inventories|FY-2</t>
  </si>
  <si>
    <t xml:space="preserve">prepaid|FY-2</t>
  </si>
  <si>
    <t xml:space="preserve">payables|FY-2</t>
  </si>
  <si>
    <t xml:space="preserve">accrued|FY-2</t>
  </si>
  <si>
    <t xml:space="preserve">revenue|FY-1</t>
  </si>
  <si>
    <t xml:space="preserve">pretax_income|FY-1</t>
  </si>
  <si>
    <t xml:space="preserve">interest_net|FY-1</t>
  </si>
  <si>
    <t xml:space="preserve">tax_expense|FY-1</t>
  </si>
  <si>
    <t xml:space="preserve">depreciation|FY-1</t>
  </si>
  <si>
    <t xml:space="preserve">capex|FY-1</t>
  </si>
  <si>
    <t xml:space="preserve">receivables|FY-1</t>
  </si>
  <si>
    <t xml:space="preserve">inventories|FY-1</t>
  </si>
  <si>
    <t xml:space="preserve">prepaid|FY-1</t>
  </si>
  <si>
    <t xml:space="preserve">payables|FY-1</t>
  </si>
  <si>
    <t xml:space="preserve">accrued|FY-1</t>
  </si>
  <si>
    <t xml:space="preserve">revenue|FY0</t>
  </si>
  <si>
    <t xml:space="preserve">pretax_income|FY0</t>
  </si>
  <si>
    <t xml:space="preserve">interest_net|FY0</t>
  </si>
  <si>
    <t xml:space="preserve">tax_expense|FY0</t>
  </si>
  <si>
    <t xml:space="preserve">depreciation|FY0</t>
  </si>
  <si>
    <t xml:space="preserve">capex|FY0</t>
  </si>
  <si>
    <t xml:space="preserve">receivables|FY0</t>
  </si>
  <si>
    <t xml:space="preserve">inventories|FY0</t>
  </si>
  <si>
    <t xml:space="preserve">prepaid|FY0</t>
  </si>
  <si>
    <t xml:space="preserve">payables|FY0</t>
  </si>
  <si>
    <t xml:space="preserve">accrued|FY0</t>
  </si>
  <si>
    <t xml:space="preserve">cash|FY0</t>
  </si>
  <si>
    <t xml:space="preserve">short_term_investments|FY0</t>
  </si>
  <si>
    <t xml:space="preserve">notes_payable|FY0</t>
  </si>
  <si>
    <t xml:space="preserve">current_ltd|FY0</t>
  </si>
  <si>
    <t xml:space="preserve">long_term_debt|FY0</t>
  </si>
  <si>
    <t xml:space="preserve">revenue|YTD_CUR</t>
  </si>
  <si>
    <t xml:space="preserve">4a98fe77-NKE_10Q_2027.pdf</t>
  </si>
  <si>
    <t xml:space="preserve">pretax_income|YTD_CUR</t>
  </si>
  <si>
    <t xml:space="preserve">interest_net|YTD_CUR</t>
  </si>
  <si>
    <t xml:space="preserve">tax_expense|YTD_CUR</t>
  </si>
  <si>
    <t xml:space="preserve">revenue|YTD_PRI</t>
  </si>
  <si>
    <t xml:space="preserve">pretax_income|YTD_PRI</t>
  </si>
  <si>
    <t xml:space="preserve">interest_net|YTD_PRI</t>
  </si>
  <si>
    <t xml:space="preserve">tax_expense|YTD_PRI</t>
  </si>
  <si>
    <t xml:space="preserve">diluted_shares|YTD_CUR</t>
  </si>
  <si>
    <t xml:space="preserve">notes_payable|Q_END</t>
  </si>
  <si>
    <t xml:space="preserve">current_ltd|Q_END</t>
  </si>
  <si>
    <t xml:space="preserve">long_term_debt|Q_END</t>
  </si>
  <si>
    <t xml:space="preserve">Label</t>
  </si>
  <si>
    <t xml:space="preserve">FY-2</t>
  </si>
  <si>
    <t xml:space="preserve">FY-1</t>
  </si>
  <si>
    <t xml:space="preserve">FY0</t>
  </si>
  <si>
    <t xml:space="preserve">Revenue</t>
  </si>
  <si>
    <t xml:space="preserve">EBIT</t>
  </si>
  <si>
    <t xml:space="preserve">Revenue growth</t>
  </si>
  <si>
    <t xml:space="preserve">EBIT margin</t>
  </si>
  <si>
    <t xml:space="preserve">Effective tax rate</t>
  </si>
  <si>
    <t xml:space="preserve">D&amp;A % of revenue</t>
  </si>
  <si>
    <t xml:space="preserve">Capex % of revenue</t>
  </si>
  <si>
    <t xml:space="preserve">NWC</t>
  </si>
  <si>
    <t xml:space="preserve">NWC % of revenue</t>
  </si>
  <si>
    <t xml:space="preserve">Net investment</t>
  </si>
  <si>
    <t xml:space="preserve">Avg EBIT margin</t>
  </si>
  <si>
    <t xml:space="preserve">Avg effective tax rate</t>
  </si>
  <si>
    <t xml:space="preserve">Avg D&amp;A % of revenue</t>
  </si>
  <si>
    <t xml:space="preserve">Avg capex % of revenue</t>
  </si>
  <si>
    <t xml:space="preserve">Avg NWC % of revenue</t>
  </si>
  <si>
    <t xml:space="preserve">Revenue CAGR</t>
  </si>
  <si>
    <t xml:space="preserve">LTM revenue</t>
  </si>
  <si>
    <t xml:space="preserve">Value</t>
  </si>
  <si>
    <t xml:space="preserve">Cost of equity</t>
  </si>
  <si>
    <t xml:space="preserve">After-tax cost of debt</t>
  </si>
  <si>
    <t xml:space="preserve">Market cap</t>
  </si>
  <si>
    <t xml:space="preserve">Debt</t>
  </si>
  <si>
    <t xml:space="preserve">Equity weight</t>
  </si>
  <si>
    <t xml:space="preserve">Debt weight</t>
  </si>
  <si>
    <t xml:space="preserve">WACC</t>
  </si>
  <si>
    <t xml:space="preserve">NOPAT</t>
  </si>
  <si>
    <t xml:space="preserve">Capex</t>
  </si>
  <si>
    <t xml:space="preserve">D&amp;A</t>
  </si>
  <si>
    <t xml:space="preserve">Change in NWC</t>
  </si>
  <si>
    <t xml:space="preserve">Free cash flow</t>
  </si>
  <si>
    <t xml:space="preserve">Discount factor</t>
  </si>
  <si>
    <t xml:space="preserve">PV of FCF</t>
  </si>
  <si>
    <t xml:space="preserve">Sum of PV of FCF</t>
  </si>
  <si>
    <t xml:space="preserve">Terminal value</t>
  </si>
  <si>
    <t xml:space="preserve">PV of terminal value</t>
  </si>
  <si>
    <t xml:space="preserve">Enterprise value</t>
  </si>
  <si>
    <t xml:space="preserve">Cash</t>
  </si>
  <si>
    <t xml:space="preserve">Equity value</t>
  </si>
  <si>
    <t xml:space="preserve">Diluted shares</t>
  </si>
  <si>
    <t xml:space="preserve">Value per share</t>
  </si>
  <si>
    <t xml:space="preserve">Market price</t>
  </si>
  <si>
    <t xml:space="preserve">Upside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</si>
</sst>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0.05</v>
      </c>
    </row>
    <row r="3" customFormat="false" ht="15" hidden="false" customHeight="false" outlineLevel="0" collapsed="false">
      <c r="A3" s="0" t="s">
        <v>3</v>
      </c>
      <c r="B3" s="0" t="n">
        <v>0.03</v>
      </c>
    </row>
    <row r="4" customFormat="false" ht="15" hidden="false" customHeight="false" outlineLevel="0" collapsed="false">
      <c r="A4" s="0" t="s">
        <v>4</v>
      </c>
      <c r="B4" s="0" t="n">
        <v>1.1</v>
      </c>
    </row>
    <row r="5" customFormat="false" ht="15" hidden="false" customHeight="false" outlineLevel="0" collapsed="false">
      <c r="A5" s="0" t="s">
        <v>5</v>
      </c>
      <c r="B5" s="0" t="n">
        <v>0.045</v>
      </c>
    </row>
    <row r="6" customFormat="false" ht="15" hidden="false" customHeight="false" outlineLevel="0" collapsed="false">
      <c r="A6" s="0" t="s">
        <v>6</v>
      </c>
      <c r="B6" s="0" t="n">
        <v>0.025</v>
      </c>
    </row>
    <row r="7" customFormat="false" ht="15" hidden="false" customHeight="false" outlineLevel="0" collapsed="false">
      <c r="A7" s="0" t="s">
        <v>7</v>
      </c>
      <c r="B7" s="0" t="n">
        <v>10</v>
      </c>
    </row>
    <row r="8" customFormat="false" ht="15" hidden="false" customHeight="false" outlineLevel="0" collapsed="false">
      <c r="A8" s="0" t="s">
        <v>8</v>
      </c>
      <c r="B8" s="0" t="n">
        <v>37.4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9</v>
      </c>
      <c r="B1" s="1" t="s">
        <v>1</v>
      </c>
      <c r="C1" s="1" t="s">
        <v>10</v>
      </c>
      <c r="D1" s="1" t="s">
        <v>11</v>
      </c>
    </row>
    <row r="2" customFormat="false" ht="15" hidden="false" customHeight="false" outlineLevel="0" collapsed="false">
      <c r="A2" s="0" t="s">
        <v>12</v>
      </c>
      <c r="B2" s="0" t="n">
        <v>51362</v>
      </c>
      <c r="C2" s="0" t="s">
        <v>13</v>
      </c>
      <c r="D2" s="0" t="n">
        <v>56</v>
      </c>
    </row>
    <row r="3" customFormat="false" ht="15" hidden="false" customHeight="false" outlineLevel="0" collapsed="false">
      <c r="A3" s="0" t="s">
        <v>14</v>
      </c>
      <c r="B3" s="0" t="n">
        <v>6700</v>
      </c>
      <c r="C3" s="0" t="s">
        <v>13</v>
      </c>
      <c r="D3" s="0" t="n">
        <v>56</v>
      </c>
    </row>
    <row r="4" customFormat="false" ht="15" hidden="false" customHeight="false" outlineLevel="0" collapsed="false">
      <c r="A4" s="0" t="s">
        <v>15</v>
      </c>
      <c r="B4" s="0" t="n">
        <v>-161</v>
      </c>
      <c r="C4" s="0" t="s">
        <v>13</v>
      </c>
      <c r="D4" s="0" t="n">
        <v>56</v>
      </c>
    </row>
    <row r="5" customFormat="false" ht="15" hidden="false" customHeight="false" outlineLevel="0" collapsed="false">
      <c r="A5" s="0" t="s">
        <v>16</v>
      </c>
      <c r="B5" s="0" t="n">
        <v>1000</v>
      </c>
      <c r="C5" s="0" t="s">
        <v>13</v>
      </c>
      <c r="D5" s="0" t="n">
        <v>56</v>
      </c>
    </row>
    <row r="6" customFormat="false" ht="15" hidden="false" customHeight="false" outlineLevel="0" collapsed="false">
      <c r="A6" s="0" t="s">
        <v>17</v>
      </c>
      <c r="B6" s="0" t="n">
        <v>796</v>
      </c>
      <c r="C6" s="0" t="s">
        <v>13</v>
      </c>
      <c r="D6" s="0" t="n">
        <v>59</v>
      </c>
    </row>
    <row r="7" customFormat="false" ht="15" hidden="false" customHeight="false" outlineLevel="0" collapsed="false">
      <c r="A7" s="0" t="s">
        <v>18</v>
      </c>
      <c r="B7" s="0" t="n">
        <v>812</v>
      </c>
      <c r="C7" s="0" t="s">
        <v>13</v>
      </c>
      <c r="D7" s="0" t="n">
        <v>59</v>
      </c>
    </row>
    <row r="8" customFormat="false" ht="15" hidden="false" customHeight="false" outlineLevel="0" collapsed="false">
      <c r="A8" s="0" t="s">
        <v>19</v>
      </c>
      <c r="B8" s="0" t="n">
        <v>4427</v>
      </c>
      <c r="C8" s="0" t="s">
        <v>20</v>
      </c>
      <c r="D8" s="0" t="n">
        <v>58</v>
      </c>
    </row>
    <row r="9" customFormat="false" ht="15" hidden="false" customHeight="false" outlineLevel="0" collapsed="false">
      <c r="A9" s="0" t="s">
        <v>21</v>
      </c>
      <c r="B9" s="0" t="n">
        <v>7519</v>
      </c>
      <c r="C9" s="0" t="s">
        <v>20</v>
      </c>
      <c r="D9" s="0" t="n">
        <v>58</v>
      </c>
    </row>
    <row r="10" customFormat="false" ht="15" hidden="false" customHeight="false" outlineLevel="0" collapsed="false">
      <c r="A10" s="0" t="s">
        <v>22</v>
      </c>
      <c r="B10" s="0" t="n">
        <v>1854</v>
      </c>
      <c r="C10" s="0" t="s">
        <v>20</v>
      </c>
      <c r="D10" s="0" t="n">
        <v>58</v>
      </c>
    </row>
    <row r="11" customFormat="false" ht="15" hidden="false" customHeight="false" outlineLevel="0" collapsed="false">
      <c r="A11" s="0" t="s">
        <v>23</v>
      </c>
      <c r="B11" s="0" t="n">
        <v>2851</v>
      </c>
      <c r="C11" s="0" t="s">
        <v>20</v>
      </c>
      <c r="D11" s="0" t="n">
        <v>58</v>
      </c>
    </row>
    <row r="12" customFormat="false" ht="15" hidden="false" customHeight="false" outlineLevel="0" collapsed="false">
      <c r="A12" s="0" t="s">
        <v>24</v>
      </c>
      <c r="B12" s="0" t="n">
        <v>5725</v>
      </c>
      <c r="C12" s="0" t="s">
        <v>20</v>
      </c>
      <c r="D12" s="0" t="n">
        <v>58</v>
      </c>
    </row>
    <row r="13" customFormat="false" ht="15" hidden="false" customHeight="false" outlineLevel="0" collapsed="false">
      <c r="A13" s="0" t="s">
        <v>25</v>
      </c>
      <c r="B13" s="0" t="n">
        <v>46309</v>
      </c>
      <c r="C13" s="0" t="s">
        <v>13</v>
      </c>
      <c r="D13" s="0" t="n">
        <v>56</v>
      </c>
    </row>
    <row r="14" customFormat="false" ht="15" hidden="false" customHeight="false" outlineLevel="0" collapsed="false">
      <c r="A14" s="0" t="s">
        <v>26</v>
      </c>
      <c r="B14" s="0" t="n">
        <v>3885</v>
      </c>
      <c r="C14" s="0" t="s">
        <v>13</v>
      </c>
      <c r="D14" s="0" t="n">
        <v>56</v>
      </c>
    </row>
    <row r="15" customFormat="false" ht="15" hidden="false" customHeight="false" outlineLevel="0" collapsed="false">
      <c r="A15" s="0" t="s">
        <v>27</v>
      </c>
      <c r="B15" s="0" t="n">
        <v>-107</v>
      </c>
      <c r="C15" s="0" t="s">
        <v>13</v>
      </c>
      <c r="D15" s="0" t="n">
        <v>56</v>
      </c>
    </row>
    <row r="16" customFormat="false" ht="15" hidden="false" customHeight="false" outlineLevel="0" collapsed="false">
      <c r="A16" s="0" t="s">
        <v>28</v>
      </c>
      <c r="B16" s="0" t="n">
        <v>666</v>
      </c>
      <c r="C16" s="0" t="s">
        <v>13</v>
      </c>
      <c r="D16" s="0" t="n">
        <v>56</v>
      </c>
    </row>
    <row r="17" customFormat="false" ht="15" hidden="false" customHeight="false" outlineLevel="0" collapsed="false">
      <c r="A17" s="0" t="s">
        <v>29</v>
      </c>
      <c r="B17" s="0" t="n">
        <v>775</v>
      </c>
      <c r="C17" s="0" t="s">
        <v>13</v>
      </c>
      <c r="D17" s="0" t="n">
        <v>59</v>
      </c>
    </row>
    <row r="18" customFormat="false" ht="15" hidden="false" customHeight="false" outlineLevel="0" collapsed="false">
      <c r="A18" s="0" t="s">
        <v>30</v>
      </c>
      <c r="B18" s="0" t="n">
        <v>430</v>
      </c>
      <c r="C18" s="0" t="s">
        <v>13</v>
      </c>
      <c r="D18" s="0" t="n">
        <v>59</v>
      </c>
    </row>
    <row r="19" customFormat="false" ht="15" hidden="false" customHeight="false" outlineLevel="0" collapsed="false">
      <c r="A19" s="0" t="s">
        <v>31</v>
      </c>
      <c r="B19" s="0" t="n">
        <v>4717</v>
      </c>
      <c r="C19" s="0" t="s">
        <v>13</v>
      </c>
      <c r="D19" s="0" t="n">
        <v>58</v>
      </c>
    </row>
    <row r="20" customFormat="false" ht="15" hidden="false" customHeight="false" outlineLevel="0" collapsed="false">
      <c r="A20" s="0" t="s">
        <v>32</v>
      </c>
      <c r="B20" s="0" t="n">
        <v>7489</v>
      </c>
      <c r="C20" s="0" t="s">
        <v>13</v>
      </c>
      <c r="D20" s="0" t="n">
        <v>58</v>
      </c>
    </row>
    <row r="21" customFormat="false" ht="15" hidden="false" customHeight="false" outlineLevel="0" collapsed="false">
      <c r="A21" s="0" t="s">
        <v>33</v>
      </c>
      <c r="B21" s="0" t="n">
        <v>2005</v>
      </c>
      <c r="C21" s="0" t="s">
        <v>13</v>
      </c>
      <c r="D21" s="0" t="n">
        <v>58</v>
      </c>
    </row>
    <row r="22" customFormat="false" ht="15" hidden="false" customHeight="false" outlineLevel="0" collapsed="false">
      <c r="A22" s="0" t="s">
        <v>34</v>
      </c>
      <c r="B22" s="0" t="n">
        <v>3479</v>
      </c>
      <c r="C22" s="0" t="s">
        <v>13</v>
      </c>
      <c r="D22" s="0" t="n">
        <v>58</v>
      </c>
    </row>
    <row r="23" customFormat="false" ht="15" hidden="false" customHeight="false" outlineLevel="0" collapsed="false">
      <c r="A23" s="0" t="s">
        <v>35</v>
      </c>
      <c r="B23" s="0" t="n">
        <v>5916</v>
      </c>
      <c r="C23" s="0" t="s">
        <v>13</v>
      </c>
      <c r="D23" s="0" t="n">
        <v>58</v>
      </c>
    </row>
    <row r="24" customFormat="false" ht="15" hidden="false" customHeight="false" outlineLevel="0" collapsed="false">
      <c r="A24" s="0" t="s">
        <v>36</v>
      </c>
      <c r="B24" s="0" t="n">
        <v>46398</v>
      </c>
      <c r="C24" s="0" t="s">
        <v>13</v>
      </c>
      <c r="D24" s="0" t="n">
        <v>56</v>
      </c>
    </row>
    <row r="25" customFormat="false" ht="15" hidden="false" customHeight="false" outlineLevel="0" collapsed="false">
      <c r="A25" s="0" t="s">
        <v>37</v>
      </c>
      <c r="B25" s="0" t="n">
        <v>3900</v>
      </c>
      <c r="C25" s="0" t="s">
        <v>13</v>
      </c>
      <c r="D25" s="0" t="n">
        <v>56</v>
      </c>
    </row>
    <row r="26" customFormat="false" ht="15" hidden="false" customHeight="false" outlineLevel="0" collapsed="false">
      <c r="A26" s="0" t="s">
        <v>38</v>
      </c>
      <c r="B26" s="0" t="n">
        <v>-50</v>
      </c>
      <c r="C26" s="0" t="s">
        <v>13</v>
      </c>
      <c r="D26" s="0" t="n">
        <v>56</v>
      </c>
    </row>
    <row r="27" customFormat="false" ht="15" hidden="false" customHeight="false" outlineLevel="0" collapsed="false">
      <c r="A27" s="0" t="s">
        <v>39</v>
      </c>
      <c r="B27" s="0" t="n">
        <v>792</v>
      </c>
      <c r="C27" s="0" t="s">
        <v>13</v>
      </c>
      <c r="D27" s="0" t="n">
        <v>56</v>
      </c>
    </row>
    <row r="28" customFormat="false" ht="15" hidden="false" customHeight="false" outlineLevel="0" collapsed="false">
      <c r="A28" s="0" t="s">
        <v>40</v>
      </c>
      <c r="B28" s="0" t="n">
        <v>747</v>
      </c>
      <c r="C28" s="0" t="s">
        <v>13</v>
      </c>
      <c r="D28" s="0" t="n">
        <v>59</v>
      </c>
    </row>
    <row r="29" customFormat="false" ht="15" hidden="false" customHeight="false" outlineLevel="0" collapsed="false">
      <c r="A29" s="0" t="s">
        <v>41</v>
      </c>
      <c r="B29" s="0" t="n">
        <v>684</v>
      </c>
      <c r="C29" s="0" t="s">
        <v>13</v>
      </c>
      <c r="D29" s="0" t="n">
        <v>59</v>
      </c>
    </row>
    <row r="30" customFormat="false" ht="15" hidden="false" customHeight="false" outlineLevel="0" collapsed="false">
      <c r="A30" s="0" t="s">
        <v>42</v>
      </c>
      <c r="B30" s="0" t="n">
        <v>5931</v>
      </c>
      <c r="C30" s="0" t="s">
        <v>13</v>
      </c>
      <c r="D30" s="0" t="n">
        <v>58</v>
      </c>
    </row>
    <row r="31" customFormat="false" ht="15" hidden="false" customHeight="false" outlineLevel="0" collapsed="false">
      <c r="A31" s="0" t="s">
        <v>43</v>
      </c>
      <c r="B31" s="0" t="n">
        <v>7501</v>
      </c>
      <c r="C31" s="0" t="s">
        <v>13</v>
      </c>
      <c r="D31" s="0" t="n">
        <v>58</v>
      </c>
    </row>
    <row r="32" customFormat="false" ht="15" hidden="false" customHeight="false" outlineLevel="0" collapsed="false">
      <c r="A32" s="0" t="s">
        <v>44</v>
      </c>
      <c r="B32" s="0" t="n">
        <v>2144</v>
      </c>
      <c r="C32" s="0" t="s">
        <v>13</v>
      </c>
      <c r="D32" s="0" t="n">
        <v>58</v>
      </c>
    </row>
    <row r="33" customFormat="false" ht="15" hidden="false" customHeight="false" outlineLevel="0" collapsed="false">
      <c r="A33" s="0" t="s">
        <v>45</v>
      </c>
      <c r="B33" s="0" t="n">
        <v>3600</v>
      </c>
      <c r="C33" s="0" t="s">
        <v>13</v>
      </c>
      <c r="D33" s="0" t="n">
        <v>58</v>
      </c>
    </row>
    <row r="34" customFormat="false" ht="15" hidden="false" customHeight="false" outlineLevel="0" collapsed="false">
      <c r="A34" s="0" t="s">
        <v>46</v>
      </c>
      <c r="B34" s="0" t="n">
        <v>6092</v>
      </c>
      <c r="C34" s="0" t="s">
        <v>13</v>
      </c>
      <c r="D34" s="0" t="n">
        <v>58</v>
      </c>
    </row>
    <row r="35" customFormat="false" ht="15" hidden="false" customHeight="false" outlineLevel="0" collapsed="false">
      <c r="A35" s="0" t="s">
        <v>47</v>
      </c>
      <c r="B35" s="0" t="n">
        <v>7563</v>
      </c>
      <c r="C35" s="0" t="s">
        <v>13</v>
      </c>
      <c r="D35" s="0" t="n">
        <v>58</v>
      </c>
    </row>
    <row r="36" customFormat="false" ht="15" hidden="false" customHeight="false" outlineLevel="0" collapsed="false">
      <c r="A36" s="0" t="s">
        <v>48</v>
      </c>
      <c r="B36" s="0" t="n">
        <v>1464</v>
      </c>
      <c r="C36" s="0" t="s">
        <v>13</v>
      </c>
      <c r="D36" s="0" t="n">
        <v>58</v>
      </c>
    </row>
    <row r="37" customFormat="false" ht="15" hidden="false" customHeight="false" outlineLevel="0" collapsed="false">
      <c r="A37" s="0" t="s">
        <v>49</v>
      </c>
      <c r="B37" s="0" t="n">
        <v>0</v>
      </c>
      <c r="C37" s="0" t="s">
        <v>13</v>
      </c>
      <c r="D37" s="0" t="n">
        <v>58</v>
      </c>
    </row>
    <row r="38" customFormat="false" ht="15" hidden="false" customHeight="false" outlineLevel="0" collapsed="false">
      <c r="A38" s="0" t="s">
        <v>50</v>
      </c>
      <c r="B38" s="0" t="n">
        <v>2000</v>
      </c>
      <c r="C38" s="0" t="s">
        <v>13</v>
      </c>
      <c r="D38" s="0" t="n">
        <v>58</v>
      </c>
    </row>
    <row r="39" customFormat="false" ht="15" hidden="false" customHeight="false" outlineLevel="0" collapsed="false">
      <c r="A39" s="0" t="s">
        <v>51</v>
      </c>
      <c r="B39" s="0" t="n">
        <v>5942</v>
      </c>
      <c r="C39" s="0" t="s">
        <v>13</v>
      </c>
      <c r="D39" s="0" t="n">
        <v>58</v>
      </c>
    </row>
    <row r="40" customFormat="false" ht="15" hidden="false" customHeight="false" outlineLevel="0" collapsed="false">
      <c r="A40" s="0" t="s">
        <v>52</v>
      </c>
      <c r="B40" s="0" t="n">
        <v>11213</v>
      </c>
      <c r="C40" s="0" t="s">
        <v>53</v>
      </c>
      <c r="D40" s="0" t="n">
        <v>4</v>
      </c>
    </row>
    <row r="41" customFormat="false" ht="15" hidden="false" customHeight="false" outlineLevel="0" collapsed="false">
      <c r="A41" s="0" t="s">
        <v>54</v>
      </c>
      <c r="B41" s="0" t="n">
        <v>921</v>
      </c>
      <c r="C41" s="0" t="s">
        <v>53</v>
      </c>
      <c r="D41" s="0" t="n">
        <v>4</v>
      </c>
    </row>
    <row r="42" customFormat="false" ht="15" hidden="false" customHeight="false" outlineLevel="0" collapsed="false">
      <c r="A42" s="0" t="s">
        <v>55</v>
      </c>
      <c r="B42" s="0" t="n">
        <v>-14</v>
      </c>
      <c r="C42" s="0" t="s">
        <v>53</v>
      </c>
      <c r="D42" s="0" t="n">
        <v>4</v>
      </c>
    </row>
    <row r="43" customFormat="false" ht="15" hidden="false" customHeight="false" outlineLevel="0" collapsed="false">
      <c r="A43" s="0" t="s">
        <v>56</v>
      </c>
      <c r="B43" s="0" t="n">
        <v>209</v>
      </c>
      <c r="C43" s="0" t="s">
        <v>53</v>
      </c>
      <c r="D43" s="0" t="n">
        <v>4</v>
      </c>
    </row>
    <row r="44" customFormat="false" ht="15" hidden="false" customHeight="false" outlineLevel="0" collapsed="false">
      <c r="A44" s="0" t="s">
        <v>57</v>
      </c>
      <c r="B44" s="0" t="n">
        <v>11720</v>
      </c>
      <c r="C44" s="0" t="s">
        <v>53</v>
      </c>
      <c r="D44" s="0" t="n">
        <v>4</v>
      </c>
    </row>
    <row r="45" customFormat="false" ht="15" hidden="false" customHeight="false" outlineLevel="0" collapsed="false">
      <c r="A45" s="0" t="s">
        <v>58</v>
      </c>
      <c r="B45" s="0" t="n">
        <v>922</v>
      </c>
      <c r="C45" s="0" t="s">
        <v>53</v>
      </c>
      <c r="D45" s="0" t="n">
        <v>4</v>
      </c>
    </row>
    <row r="46" customFormat="false" ht="15" hidden="false" customHeight="false" outlineLevel="0" collapsed="false">
      <c r="A46" s="0" t="s">
        <v>59</v>
      </c>
      <c r="B46" s="0" t="n">
        <v>-18</v>
      </c>
      <c r="C46" s="0" t="s">
        <v>53</v>
      </c>
      <c r="D46" s="0" t="n">
        <v>4</v>
      </c>
    </row>
    <row r="47" customFormat="false" ht="15" hidden="false" customHeight="false" outlineLevel="0" collapsed="false">
      <c r="A47" s="0" t="s">
        <v>60</v>
      </c>
      <c r="B47" s="0" t="n">
        <v>195</v>
      </c>
      <c r="C47" s="0" t="s">
        <v>53</v>
      </c>
      <c r="D47" s="0" t="n">
        <v>4</v>
      </c>
    </row>
    <row r="48" customFormat="false" ht="15" hidden="false" customHeight="false" outlineLevel="0" collapsed="false">
      <c r="A48" s="0" t="s">
        <v>61</v>
      </c>
      <c r="B48" s="0" t="n">
        <v>1484.2</v>
      </c>
      <c r="C48" s="0" t="s">
        <v>53</v>
      </c>
      <c r="D48" s="0" t="n">
        <v>4</v>
      </c>
    </row>
    <row r="49" customFormat="false" ht="15" hidden="false" customHeight="false" outlineLevel="0" collapsed="false">
      <c r="A49" s="0" t="s">
        <v>62</v>
      </c>
      <c r="B49" s="0" t="n">
        <v>0</v>
      </c>
      <c r="C49" s="0" t="s">
        <v>53</v>
      </c>
      <c r="D49" s="0" t="n">
        <v>6</v>
      </c>
    </row>
    <row r="50" customFormat="false" ht="15" hidden="false" customHeight="false" outlineLevel="0" collapsed="false">
      <c r="A50" s="0" t="s">
        <v>63</v>
      </c>
      <c r="B50" s="0" t="n">
        <v>2000</v>
      </c>
      <c r="C50" s="0" t="s">
        <v>53</v>
      </c>
      <c r="D50" s="0" t="n">
        <v>6</v>
      </c>
    </row>
    <row r="51" customFormat="false" ht="15" hidden="false" customHeight="false" outlineLevel="0" collapsed="false">
      <c r="A51" s="0" t="s">
        <v>64</v>
      </c>
      <c r="B51" s="0" t="n">
        <v>5893</v>
      </c>
      <c r="C51" s="0" t="s">
        <v>53</v>
      </c>
      <c r="D51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65</v>
      </c>
      <c r="B1" s="1" t="s">
        <v>66</v>
      </c>
      <c r="C1" s="1" t="s">
        <v>67</v>
      </c>
      <c r="D1" s="1" t="s">
        <v>68</v>
      </c>
    </row>
    <row r="2" customFormat="false" ht="15" hidden="false" customHeight="false" outlineLevel="0" collapsed="false">
      <c r="A2" s="0" t="s">
        <v>69</v>
      </c>
      <c r="B2" s="0" t="n">
        <f aca="false">INDEX(Inputs!$B:$B,MATCH("revenue|FY-2",Inputs!$A:$A,0))</f>
        <v>51362</v>
      </c>
      <c r="C2" s="0" t="n">
        <f aca="false">INDEX(Inputs!$B:$B,MATCH("revenue|FY-1",Inputs!$A:$A,0))</f>
        <v>46309</v>
      </c>
      <c r="D2" s="0" t="n">
        <f aca="false">INDEX(Inputs!$B:$B,MATCH("revenue|FY0",Inputs!$A:$A,0))</f>
        <v>46398</v>
      </c>
    </row>
    <row r="3" customFormat="false" ht="15" hidden="false" customHeight="false" outlineLevel="0" collapsed="false">
      <c r="A3" s="0" t="s">
        <v>70</v>
      </c>
      <c r="B3" s="0" t="n">
        <f aca="false">INDEX(Inputs!$B:$B,MATCH("pretax_income|FY-2",Inputs!$A:$A,0))+INDEX(Inputs!$B:$B,MATCH("interest_net|FY-2",Inputs!$A:$A,0))</f>
        <v>6539</v>
      </c>
      <c r="C3" s="0" t="n">
        <f aca="false">INDEX(Inputs!$B:$B,MATCH("pretax_income|FY-1",Inputs!$A:$A,0))+INDEX(Inputs!$B:$B,MATCH("interest_net|FY-1",Inputs!$A:$A,0))</f>
        <v>3778</v>
      </c>
      <c r="D3" s="0" t="n">
        <f aca="false">INDEX(Inputs!$B:$B,MATCH("pretax_income|FY0",Inputs!$A:$A,0))+INDEX(Inputs!$B:$B,MATCH("interest_net|FY0",Inputs!$A:$A,0))</f>
        <v>3850</v>
      </c>
    </row>
    <row r="4" customFormat="false" ht="15" hidden="false" customHeight="false" outlineLevel="0" collapsed="false">
      <c r="A4" s="0" t="s">
        <v>71</v>
      </c>
      <c r="C4" s="0" t="n">
        <f aca="false">C2/B2-1</f>
        <v>-0.0983801253845256</v>
      </c>
      <c r="D4" s="0" t="n">
        <f aca="false">D2/C2-1</f>
        <v>0.00192187263814803</v>
      </c>
    </row>
    <row r="5" customFormat="false" ht="15" hidden="false" customHeight="false" outlineLevel="0" collapsed="false">
      <c r="A5" s="0" t="s">
        <v>72</v>
      </c>
      <c r="B5" s="0" t="n">
        <f aca="false">B3/B2</f>
        <v>0.127312020559947</v>
      </c>
      <c r="C5" s="0" t="n">
        <f aca="false">C3/C2</f>
        <v>0.0815824137856572</v>
      </c>
      <c r="D5" s="0" t="n">
        <f aca="false">D3/D2</f>
        <v>0.0829777145566619</v>
      </c>
    </row>
    <row r="6" customFormat="false" ht="15" hidden="false" customHeight="false" outlineLevel="0" collapsed="false">
      <c r="A6" s="0" t="s">
        <v>73</v>
      </c>
      <c r="B6" s="0" t="n">
        <f aca="false">INDEX(Inputs!$B:$B,MATCH("tax_expense|FY-2",Inputs!$A:$A,0))/INDEX(Inputs!$B:$B,MATCH("pretax_income|FY-2",Inputs!$A:$A,0))</f>
        <v>0.149253731343284</v>
      </c>
      <c r="C6" s="0" t="n">
        <f aca="false">INDEX(Inputs!$B:$B,MATCH("tax_expense|FY-1",Inputs!$A:$A,0))/INDEX(Inputs!$B:$B,MATCH("pretax_income|FY-1",Inputs!$A:$A,0))</f>
        <v>0.171428571428571</v>
      </c>
      <c r="D6" s="0" t="n">
        <f aca="false">INDEX(Inputs!$B:$B,MATCH("tax_expense|FY0",Inputs!$A:$A,0))/INDEX(Inputs!$B:$B,MATCH("pretax_income|FY0",Inputs!$A:$A,0))</f>
        <v>0.203076923076923</v>
      </c>
    </row>
    <row r="7" customFormat="false" ht="15" hidden="false" customHeight="false" outlineLevel="0" collapsed="false">
      <c r="A7" s="0" t="s">
        <v>74</v>
      </c>
      <c r="B7" s="0" t="n">
        <f aca="false">INDEX(Inputs!$B:$B,MATCH("depreciation|FY-2",Inputs!$A:$A,0))/B2</f>
        <v>0.0154978388692029</v>
      </c>
      <c r="C7" s="0" t="n">
        <f aca="false">INDEX(Inputs!$B:$B,MATCH("depreciation|FY-1",Inputs!$A:$A,0))/C2</f>
        <v>0.0167354078040986</v>
      </c>
      <c r="D7" s="0" t="n">
        <f aca="false">INDEX(Inputs!$B:$B,MATCH("depreciation|FY0",Inputs!$A:$A,0))/D2</f>
        <v>0.0160998318893056</v>
      </c>
    </row>
    <row r="8" customFormat="false" ht="15" hidden="false" customHeight="false" outlineLevel="0" collapsed="false">
      <c r="A8" s="0" t="s">
        <v>75</v>
      </c>
      <c r="B8" s="0" t="n">
        <f aca="false">INDEX(Inputs!$B:$B,MATCH("capex|FY-2",Inputs!$A:$A,0))/B2</f>
        <v>0.0158093532183326</v>
      </c>
      <c r="C8" s="0" t="n">
        <f aca="false">INDEX(Inputs!$B:$B,MATCH("capex|FY-1",Inputs!$A:$A,0))/C2</f>
        <v>0.00928545207195146</v>
      </c>
      <c r="D8" s="0" t="n">
        <f aca="false">INDEX(Inputs!$B:$B,MATCH("capex|FY0",Inputs!$A:$A,0))/D2</f>
        <v>0.0147420147420147</v>
      </c>
    </row>
    <row r="9" customFormat="false" ht="15" hidden="false" customHeight="false" outlineLevel="0" collapsed="false">
      <c r="A9" s="0" t="s">
        <v>76</v>
      </c>
      <c r="B9" s="0" t="n">
        <f aca="false">INDEX(Inputs!$B:$B,MATCH("receivables|FY-2",Inputs!$A:$A,0))+INDEX(Inputs!$B:$B,MATCH("inventories|FY-2",Inputs!$A:$A,0))+INDEX(Inputs!$B:$B,MATCH("prepaid|FY-2",Inputs!$A:$A,0))-INDEX(Inputs!$B:$B,MATCH("payables|FY-2",Inputs!$A:$A,0))-INDEX(Inputs!$B:$B,MATCH("accrued|FY-2",Inputs!$A:$A,0))</f>
        <v>5224</v>
      </c>
      <c r="C9" s="0" t="n">
        <f aca="false">INDEX(Inputs!$B:$B,MATCH("receivables|FY-1",Inputs!$A:$A,0))+INDEX(Inputs!$B:$B,MATCH("inventories|FY-1",Inputs!$A:$A,0))+INDEX(Inputs!$B:$B,MATCH("prepaid|FY-1",Inputs!$A:$A,0))-INDEX(Inputs!$B:$B,MATCH("payables|FY-1",Inputs!$A:$A,0))-INDEX(Inputs!$B:$B,MATCH("accrued|FY-1",Inputs!$A:$A,0))</f>
        <v>4816</v>
      </c>
      <c r="D9" s="0" t="n">
        <f aca="false">INDEX(Inputs!$B:$B,MATCH("receivables|FY0",Inputs!$A:$A,0))+INDEX(Inputs!$B:$B,MATCH("inventories|FY0",Inputs!$A:$A,0))+INDEX(Inputs!$B:$B,MATCH("prepaid|FY0",Inputs!$A:$A,0))-INDEX(Inputs!$B:$B,MATCH("payables|FY0",Inputs!$A:$A,0))-INDEX(Inputs!$B:$B,MATCH("accrued|FY0",Inputs!$A:$A,0))</f>
        <v>5884</v>
      </c>
    </row>
    <row r="10" customFormat="false" ht="15" hidden="false" customHeight="false" outlineLevel="0" collapsed="false">
      <c r="A10" s="0" t="s">
        <v>77</v>
      </c>
      <c r="B10" s="0" t="n">
        <f aca="false">B9/B2</f>
        <v>0.101709434990849</v>
      </c>
      <c r="C10" s="0" t="n">
        <f aca="false">C9/C2</f>
        <v>0.103997063205856</v>
      </c>
      <c r="D10" s="0" t="n">
        <f aca="false">D9/D2</f>
        <v>0.126815811026337</v>
      </c>
    </row>
    <row r="11" customFormat="false" ht="15" hidden="false" customHeight="false" outlineLevel="0" collapsed="false">
      <c r="A11" s="0" t="s">
        <v>78</v>
      </c>
      <c r="C11" s="0" t="n">
        <f aca="false">INDEX(Inputs!$B:$B,MATCH("capex|FY-1",Inputs!$A:$A,0))-INDEX(Inputs!$B:$B,MATCH("depreciation|FY-1",Inputs!$A:$A,0))+(C9-B9)</f>
        <v>-753</v>
      </c>
      <c r="D11" s="0" t="n">
        <f aca="false">INDEX(Inputs!$B:$B,MATCH("capex|FY0",Inputs!$A:$A,0))-INDEX(Inputs!$B:$B,MATCH("depreciation|FY0",Inputs!$A:$A,0))+(D9-C9)</f>
        <v>1005</v>
      </c>
    </row>
    <row r="13" customFormat="false" ht="15" hidden="false" customHeight="false" outlineLevel="0" collapsed="false">
      <c r="A13" s="0" t="s">
        <v>79</v>
      </c>
      <c r="B13" s="0" t="n">
        <f aca="false">AVERAGE(B5:D5)</f>
        <v>0.0972907163007554</v>
      </c>
    </row>
    <row r="14" customFormat="false" ht="15" hidden="false" customHeight="false" outlineLevel="0" collapsed="false">
      <c r="A14" s="0" t="s">
        <v>80</v>
      </c>
      <c r="B14" s="0" t="n">
        <f aca="false">AVERAGE(B6:D6)</f>
        <v>0.174586408616259</v>
      </c>
    </row>
    <row r="15" customFormat="false" ht="15" hidden="false" customHeight="false" outlineLevel="0" collapsed="false">
      <c r="A15" s="0" t="s">
        <v>81</v>
      </c>
      <c r="B15" s="0" t="n">
        <f aca="false">AVERAGE(B7:D7)</f>
        <v>0.0161110261875357</v>
      </c>
    </row>
    <row r="16" customFormat="false" ht="15" hidden="false" customHeight="false" outlineLevel="0" collapsed="false">
      <c r="A16" s="0" t="s">
        <v>82</v>
      </c>
      <c r="B16" s="0" t="n">
        <f aca="false">AVERAGE(B8:D8)</f>
        <v>0.0132789400107663</v>
      </c>
    </row>
    <row r="17" customFormat="false" ht="15" hidden="false" customHeight="false" outlineLevel="0" collapsed="false">
      <c r="A17" s="0" t="s">
        <v>83</v>
      </c>
      <c r="B17" s="0" t="n">
        <f aca="false">AVERAGE(B10:D10)</f>
        <v>0.110840769741014</v>
      </c>
    </row>
    <row r="18" customFormat="false" ht="15" hidden="false" customHeight="false" outlineLevel="0" collapsed="false">
      <c r="A18" s="0" t="s">
        <v>84</v>
      </c>
      <c r="B18" s="0" t="n">
        <f aca="false">POWER(D2/B2,1/2)-1</f>
        <v>-0.0495513305903845</v>
      </c>
    </row>
    <row r="19" customFormat="false" ht="15" hidden="false" customHeight="false" outlineLevel="0" collapsed="false">
      <c r="A19" s="0" t="s">
        <v>85</v>
      </c>
      <c r="B19" s="0" t="n">
        <f aca="false">D2+INDEX(Inputs!$B:$B,MATCH("revenue|YTD_CUR",Inputs!$A:$A,0))-INDEX(Inputs!$B:$B,MATCH("revenue|YTD_PRI",Inputs!$A:$A,0))</f>
        <v>45891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65</v>
      </c>
      <c r="B1" s="1" t="s">
        <v>86</v>
      </c>
    </row>
    <row r="2" customFormat="false" ht="15" hidden="false" customHeight="false" outlineLevel="0" collapsed="false">
      <c r="A2" s="0" t="s">
        <v>87</v>
      </c>
      <c r="B2" s="0" t="n">
        <f aca="false">Assumptions!$B$2+Assumptions!$B$4*Assumptions!$B$3</f>
        <v>0.083</v>
      </c>
    </row>
    <row r="3" customFormat="false" ht="15" hidden="false" customHeight="false" outlineLevel="0" collapsed="false">
      <c r="A3" s="0" t="s">
        <v>88</v>
      </c>
      <c r="B3" s="0" t="n">
        <f aca="false">Assumptions!$B$5*(1-Historicals!$B$14)</f>
        <v>0.0371436116122683</v>
      </c>
    </row>
    <row r="4" customFormat="false" ht="15" hidden="false" customHeight="false" outlineLevel="0" collapsed="false">
      <c r="A4" s="0" t="s">
        <v>89</v>
      </c>
      <c r="B4" s="0" t="n">
        <f aca="false">Assumptions!$B$8*INDEX(Inputs!$B:$B,MATCH("diluted_shares|YTD_CUR",Inputs!$A:$A,0))</f>
        <v>55509.08</v>
      </c>
    </row>
    <row r="5" customFormat="false" ht="15" hidden="false" customHeight="false" outlineLevel="0" collapsed="false">
      <c r="A5" s="0" t="s">
        <v>90</v>
      </c>
      <c r="B5" s="0" t="n">
        <f aca="false">INDEX(Inputs!$B:$B,MATCH("notes_payable|Q_END",Inputs!$A:$A,0))+INDEX(Inputs!$B:$B,MATCH("current_ltd|Q_END",Inputs!$A:$A,0))+INDEX(Inputs!$B:$B,MATCH("long_term_debt|Q_END",Inputs!$A:$A,0))</f>
        <v>7893</v>
      </c>
    </row>
    <row r="6" customFormat="false" ht="15" hidden="false" customHeight="false" outlineLevel="0" collapsed="false">
      <c r="A6" s="0" t="s">
        <v>91</v>
      </c>
      <c r="B6" s="0" t="n">
        <f aca="false">B4/(B4+B5)</f>
        <v>0.87550881611455</v>
      </c>
    </row>
    <row r="7" customFormat="false" ht="15" hidden="false" customHeight="false" outlineLevel="0" collapsed="false">
      <c r="A7" s="0" t="s">
        <v>92</v>
      </c>
      <c r="B7" s="0" t="n">
        <f aca="false">B5/(B4+B5)</f>
        <v>0.12449118388545</v>
      </c>
    </row>
    <row r="8" customFormat="false" ht="15" hidden="false" customHeight="false" outlineLevel="0" collapsed="false">
      <c r="A8" s="0" t="s">
        <v>93</v>
      </c>
      <c r="B8" s="0" t="n">
        <f aca="false">B6*B2+B7*B3</f>
        <v>0.0772912839209003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65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 customFormat="false" ht="15" hidden="false" customHeight="false" outlineLevel="0" collapsed="false">
      <c r="A2" s="0" t="s">
        <v>71</v>
      </c>
      <c r="B2" s="0" t="n">
        <f aca="false">Historicals!$B$18+(Assumptions!$B$6-Historicals!$B$18)*(B$1-1)/(Assumptions!$B$7-1)</f>
        <v>-0.0495513305903845</v>
      </c>
      <c r="C2" s="0" t="n">
        <f aca="false">Historicals!$B$18+(Assumptions!$B$6-Historicals!$B$18)*(C$1-1)/(Assumptions!$B$7-1)</f>
        <v>-0.0412678494136751</v>
      </c>
      <c r="D2" s="0" t="n">
        <f aca="false">Historicals!$B$18+(Assumptions!$B$6-Historicals!$B$18)*(D$1-1)/(Assumptions!$B$7-1)</f>
        <v>-0.0329843682369657</v>
      </c>
      <c r="E2" s="0" t="n">
        <f aca="false">Historicals!$B$18+(Assumptions!$B$6-Historicals!$B$18)*(E$1-1)/(Assumptions!$B$7-1)</f>
        <v>-0.0247008870602564</v>
      </c>
      <c r="F2" s="0" t="n">
        <f aca="false">Historicals!$B$18+(Assumptions!$B$6-Historicals!$B$18)*(F$1-1)/(Assumptions!$B$7-1)</f>
        <v>-0.016417405883547</v>
      </c>
      <c r="G2" s="0" t="n">
        <f aca="false">Historicals!$B$18+(Assumptions!$B$6-Historicals!$B$18)*(G$1-1)/(Assumptions!$B$7-1)</f>
        <v>-0.00813392470683757</v>
      </c>
      <c r="H2" s="0" t="n">
        <f aca="false">Historicals!$B$18+(Assumptions!$B$6-Historicals!$B$18)*(H$1-1)/(Assumptions!$B$7-1)</f>
        <v>0.000149556469871824</v>
      </c>
      <c r="I2" s="0" t="n">
        <f aca="false">Historicals!$B$18+(Assumptions!$B$6-Historicals!$B$18)*(I$1-1)/(Assumptions!$B$7-1)</f>
        <v>0.00843303764658121</v>
      </c>
      <c r="J2" s="0" t="n">
        <f aca="false">Historicals!$B$18+(Assumptions!$B$6-Historicals!$B$18)*(J$1-1)/(Assumptions!$B$7-1)</f>
        <v>0.0167165188232906</v>
      </c>
      <c r="K2" s="0" t="n">
        <f aca="false">Historicals!$B$18+(Assumptions!$B$6-Historicals!$B$18)*(K$1-1)/(Assumptions!$B$7-1)</f>
        <v>0.025</v>
      </c>
    </row>
    <row r="3" customFormat="false" ht="15" hidden="false" customHeight="false" outlineLevel="0" collapsed="false">
      <c r="A3" s="0" t="s">
        <v>69</v>
      </c>
      <c r="B3" s="0" t="n">
        <f aca="false">Historicals!$B$19*(1+B2)</f>
        <v>43617.0398878767</v>
      </c>
      <c r="C3" s="0" t="n">
        <f aca="false">B3*(1+C2)</f>
        <v>41817.0584539135</v>
      </c>
      <c r="D3" s="0" t="n">
        <f aca="false">C3*(1+D2)</f>
        <v>40437.7491992829</v>
      </c>
      <c r="E3" s="0" t="n">
        <f aca="false">D3*(1+E2)</f>
        <v>39438.9009233405</v>
      </c>
      <c r="F3" s="0" t="n">
        <f aca="false">E3*(1+F2)</f>
        <v>38791.416479281</v>
      </c>
      <c r="G3" s="0" t="n">
        <f aca="false">F3*(1+G2)</f>
        <v>38475.8900183669</v>
      </c>
      <c r="H3" s="0" t="n">
        <f aca="false">G3*(1+H2)</f>
        <v>38481.6443366533</v>
      </c>
      <c r="I3" s="0" t="n">
        <f aca="false">H3*(1+I2)</f>
        <v>38806.1614920466</v>
      </c>
      <c r="J3" s="0" t="n">
        <f aca="false">I3*(1+J2)</f>
        <v>39454.865421088</v>
      </c>
      <c r="K3" s="0" t="n">
        <f aca="false">J3*(1+K2)</f>
        <v>40441.2370566152</v>
      </c>
    </row>
    <row r="4" customFormat="false" ht="15" hidden="false" customHeight="false" outlineLevel="0" collapsed="false">
      <c r="A4" s="0" t="s">
        <v>70</v>
      </c>
      <c r="B4" s="0" t="n">
        <f aca="false">Historicals!$B$13*B3</f>
        <v>4243.53305361014</v>
      </c>
      <c r="C4" s="0" t="n">
        <f aca="false">Historicals!$B$13*C3</f>
        <v>4068.4115705718</v>
      </c>
      <c r="D4" s="0" t="n">
        <f aca="false">Historicals!$B$13*D3</f>
        <v>3934.21758518853</v>
      </c>
      <c r="E4" s="0" t="n">
        <f aca="false">Historicals!$B$13*E3</f>
        <v>3837.03892094632</v>
      </c>
      <c r="F4" s="0" t="n">
        <f aca="false">Historicals!$B$13*F3</f>
        <v>3774.04469559017</v>
      </c>
      <c r="G4" s="0" t="n">
        <f aca="false">Historicals!$B$13*G3</f>
        <v>3743.346900196</v>
      </c>
      <c r="H4" s="0" t="n">
        <f aca="false">Historicals!$B$13*H3</f>
        <v>3743.9067419439</v>
      </c>
      <c r="I4" s="0" t="n">
        <f aca="false">Historicals!$B$13*I3</f>
        <v>3775.479248444</v>
      </c>
      <c r="J4" s="0" t="n">
        <f aca="false">Historicals!$B$13*J3</f>
        <v>3838.59211836756</v>
      </c>
      <c r="K4" s="0" t="n">
        <f aca="false">Historicals!$B$13*K3</f>
        <v>3934.55692132675</v>
      </c>
    </row>
    <row r="5" customFormat="false" ht="15" hidden="false" customHeight="false" outlineLevel="0" collapsed="false">
      <c r="A5" s="0" t="s">
        <v>94</v>
      </c>
      <c r="B5" s="0" t="n">
        <f aca="false">B4*(1-Historicals!$B$14)</f>
        <v>3502.66985793596</v>
      </c>
      <c r="C5" s="0" t="n">
        <f aca="false">C4*(1-Historicals!$B$14)</f>
        <v>3358.12220569284</v>
      </c>
      <c r="D5" s="0" t="n">
        <f aca="false">D4*(1-Historicals!$B$14)</f>
        <v>3247.35666627553</v>
      </c>
      <c r="E5" s="0" t="n">
        <f aca="false">E4*(1-Historicals!$B$14)</f>
        <v>3167.14407601749</v>
      </c>
      <c r="F5" s="0" t="n">
        <f aca="false">F4*(1-Historicals!$B$14)</f>
        <v>3115.14778622984</v>
      </c>
      <c r="G5" s="0" t="n">
        <f aca="false">G4*(1-Historicals!$B$14)</f>
        <v>3089.80940868597</v>
      </c>
      <c r="H5" s="0" t="n">
        <f aca="false">H4*(1-Historicals!$B$14)</f>
        <v>3090.27150967372</v>
      </c>
      <c r="I5" s="0" t="n">
        <f aca="false">I4*(1-Historicals!$B$14)</f>
        <v>3116.33188565295</v>
      </c>
      <c r="J5" s="0" t="n">
        <f aca="false">J4*(1-Historicals!$B$14)</f>
        <v>3168.42610627909</v>
      </c>
      <c r="K5" s="0" t="n">
        <f aca="false">K4*(1-Historicals!$B$14)</f>
        <v>3247.63675893607</v>
      </c>
    </row>
    <row r="6" customFormat="false" ht="15" hidden="false" customHeight="false" outlineLevel="0" collapsed="false">
      <c r="A6" s="0" t="s">
        <v>95</v>
      </c>
      <c r="B6" s="0" t="n">
        <f aca="false">Historicals!$B$16*B3</f>
        <v>579.188056118314</v>
      </c>
      <c r="C6" s="0" t="n">
        <f aca="false">Historicals!$B$16*C3</f>
        <v>555.286210636224</v>
      </c>
      <c r="D6" s="0" t="n">
        <f aca="false">Historicals!$B$16*D3</f>
        <v>536.97044578769</v>
      </c>
      <c r="E6" s="0" t="n">
        <f aca="false">Historicals!$B$16*E3</f>
        <v>523.706799451592</v>
      </c>
      <c r="F6" s="0" t="n">
        <f aca="false">Historicals!$B$16*F3</f>
        <v>515.108892361022</v>
      </c>
      <c r="G6" s="0" t="n">
        <f aca="false">Historicals!$B$16*G3</f>
        <v>510.919035414735</v>
      </c>
      <c r="H6" s="0" t="n">
        <f aca="false">Historicals!$B$16*H3</f>
        <v>510.995446662062</v>
      </c>
      <c r="I6" s="0" t="n">
        <f aca="false">Historicals!$B$16*I3</f>
        <v>515.304690500995</v>
      </c>
      <c r="J6" s="0" t="n">
        <f aca="false">Historicals!$B$16*J3</f>
        <v>523.918791059485</v>
      </c>
      <c r="K6" s="0" t="n">
        <f aca="false">Historicals!$B$16*K3</f>
        <v>537.016760835972</v>
      </c>
    </row>
    <row r="7" customFormat="false" ht="15" hidden="false" customHeight="false" outlineLevel="0" collapsed="false">
      <c r="A7" s="0" t="s">
        <v>96</v>
      </c>
      <c r="B7" s="0" t="n">
        <f aca="false">Historicals!$B$15*B3</f>
        <v>702.715271856369</v>
      </c>
      <c r="C7" s="0" t="n">
        <f aca="false">Historicals!$B$15*C3</f>
        <v>673.715723836711</v>
      </c>
      <c r="D7" s="0" t="n">
        <f aca="false">Historicals!$B$15*D3</f>
        <v>651.493636314647</v>
      </c>
      <c r="E7" s="0" t="n">
        <f aca="false">Historicals!$B$15*E3</f>
        <v>635.401165583563</v>
      </c>
      <c r="F7" s="0" t="n">
        <f aca="false">Historicals!$B$15*F3</f>
        <v>624.969526749299</v>
      </c>
      <c r="G7" s="0" t="n">
        <f aca="false">Historicals!$B$15*G3</f>
        <v>619.886071674652</v>
      </c>
      <c r="H7" s="0" t="n">
        <f aca="false">Historicals!$B$15*H3</f>
        <v>619.978779647255</v>
      </c>
      <c r="I7" s="0" t="n">
        <f aca="false">Historicals!$B$15*I3</f>
        <v>625.207084036101</v>
      </c>
      <c r="J7" s="0" t="n">
        <f aca="false">Historicals!$B$15*J3</f>
        <v>635.658370024845</v>
      </c>
      <c r="K7" s="0" t="n">
        <f aca="false">Historicals!$B$15*K3</f>
        <v>651.549829275466</v>
      </c>
    </row>
    <row r="8" customFormat="false" ht="15" hidden="false" customHeight="false" outlineLevel="0" collapsed="false">
      <c r="A8" s="0" t="s">
        <v>76</v>
      </c>
      <c r="B8" s="0" t="n">
        <f aca="false">Historicals!$B$17*B3</f>
        <v>4834.54627499677</v>
      </c>
      <c r="C8" s="0" t="n">
        <f aca="false">Historicals!$B$17*C3</f>
        <v>4635.03494733676</v>
      </c>
      <c r="D8" s="0" t="n">
        <f aca="false">Historicals!$B$17*D3</f>
        <v>4482.1512478426</v>
      </c>
      <c r="E8" s="0" t="n">
        <f aca="false">Historicals!$B$17*E3</f>
        <v>4371.43813608266</v>
      </c>
      <c r="F8" s="0" t="n">
        <f aca="false">Historicals!$B$17*F3</f>
        <v>4299.67046190777</v>
      </c>
      <c r="G8" s="0" t="n">
        <f aca="false">Historicals!$B$17*G3</f>
        <v>4264.6972661064</v>
      </c>
      <c r="H8" s="0" t="n">
        <f aca="false">Historicals!$B$17*H3</f>
        <v>4265.33507917459</v>
      </c>
      <c r="I8" s="0" t="n">
        <f aca="false">Historicals!$B$17*I3</f>
        <v>4301.30481047255</v>
      </c>
      <c r="J8" s="0" t="n">
        <f aca="false">Historicals!$B$17*J3</f>
        <v>4373.20765330153</v>
      </c>
      <c r="K8" s="0" t="n">
        <f aca="false">Historicals!$B$17*K3</f>
        <v>4482.53784463407</v>
      </c>
    </row>
    <row r="9" customFormat="false" ht="15" hidden="false" customHeight="false" outlineLevel="0" collapsed="false">
      <c r="A9" s="0" t="s">
        <v>97</v>
      </c>
      <c r="B9" s="0" t="n">
        <f aca="false">B8-Historicals!$B$17*Historicals!$B$19</f>
        <v>-252.047489188114</v>
      </c>
      <c r="C9" s="0" t="n">
        <f aca="false">C8-B8</f>
        <v>-199.51132766001</v>
      </c>
      <c r="D9" s="0" t="n">
        <f aca="false">D8-C8</f>
        <v>-152.88369949416</v>
      </c>
      <c r="E9" s="0" t="n">
        <f aca="false">E8-D8</f>
        <v>-110.713111759947</v>
      </c>
      <c r="F9" s="0" t="n">
        <f aca="false">F8-E8</f>
        <v>-71.7676741748846</v>
      </c>
      <c r="G9" s="0" t="n">
        <f aca="false">G8-F8</f>
        <v>-34.9731958013717</v>
      </c>
      <c r="H9" s="0" t="n">
        <f aca="false">H8-G8</f>
        <v>0.637813068191463</v>
      </c>
      <c r="I9" s="0" t="n">
        <f aca="false">I8-H8</f>
        <v>35.9697312979624</v>
      </c>
      <c r="J9" s="0" t="n">
        <f aca="false">J8-I8</f>
        <v>71.9028428289739</v>
      </c>
      <c r="K9" s="0" t="n">
        <f aca="false">K8-J8</f>
        <v>109.330191332538</v>
      </c>
    </row>
    <row r="10" customFormat="false" ht="15" hidden="false" customHeight="false" outlineLevel="0" collapsed="false">
      <c r="A10" s="0" t="s">
        <v>78</v>
      </c>
      <c r="B10" s="0" t="n">
        <f aca="false">B6-B7+B9</f>
        <v>-375.574704926169</v>
      </c>
      <c r="C10" s="0" t="n">
        <f aca="false">C6-C7+C9</f>
        <v>-317.940840860497</v>
      </c>
      <c r="D10" s="0" t="n">
        <f aca="false">D6-D7+D9</f>
        <v>-267.406890021118</v>
      </c>
      <c r="E10" s="0" t="n">
        <f aca="false">E6-E7+E9</f>
        <v>-222.407477891918</v>
      </c>
      <c r="F10" s="0" t="n">
        <f aca="false">F6-F7+F9</f>
        <v>-181.628308563161</v>
      </c>
      <c r="G10" s="0" t="n">
        <f aca="false">G6-G7+G9</f>
        <v>-143.940232061289</v>
      </c>
      <c r="H10" s="0" t="n">
        <f aca="false">H6-H7+H9</f>
        <v>-108.345519917001</v>
      </c>
      <c r="I10" s="0" t="n">
        <f aca="false">I6-I7+I9</f>
        <v>-73.9326622371439</v>
      </c>
      <c r="J10" s="0" t="n">
        <f aca="false">J6-J7+J9</f>
        <v>-39.8367361363868</v>
      </c>
      <c r="K10" s="0" t="n">
        <f aca="false">K6-K7+K9</f>
        <v>-5.20287710695709</v>
      </c>
    </row>
    <row r="11" customFormat="false" ht="15" hidden="false" customHeight="false" outlineLevel="0" collapsed="false">
      <c r="A11" s="0" t="s">
        <v>98</v>
      </c>
      <c r="B11" s="0" t="n">
        <f aca="false">B5-B10</f>
        <v>3878.24456286213</v>
      </c>
      <c r="C11" s="0" t="n">
        <f aca="false">C5-C10</f>
        <v>3676.06304655333</v>
      </c>
      <c r="D11" s="0" t="n">
        <f aca="false">D5-D10</f>
        <v>3514.76355629665</v>
      </c>
      <c r="E11" s="0" t="n">
        <f aca="false">E5-E10</f>
        <v>3389.55155390941</v>
      </c>
      <c r="F11" s="0" t="n">
        <f aca="false">F5-F10</f>
        <v>3296.776094793</v>
      </c>
      <c r="G11" s="0" t="n">
        <f aca="false">G5-G10</f>
        <v>3233.74964074726</v>
      </c>
      <c r="H11" s="0" t="n">
        <f aca="false">H5-H10</f>
        <v>3198.61702959072</v>
      </c>
      <c r="I11" s="0" t="n">
        <f aca="false">I5-I10</f>
        <v>3190.26454789009</v>
      </c>
      <c r="J11" s="0" t="n">
        <f aca="false">J5-J10</f>
        <v>3208.26284241548</v>
      </c>
      <c r="K11" s="0" t="n">
        <f aca="false">K5-K10</f>
        <v>3252.83963604302</v>
      </c>
    </row>
    <row r="12" customFormat="false" ht="15" hidden="false" customHeight="false" outlineLevel="0" collapsed="false">
      <c r="A12" s="0" t="s">
        <v>99</v>
      </c>
      <c r="B12" s="0" t="n">
        <f aca="false">1/POWER(1+WACC!$B$8,B$1)</f>
        <v>0.928254052479111</v>
      </c>
      <c r="C12" s="0" t="n">
        <f aca="false">1/POWER(1+WACC!$B$8,C$1)</f>
        <v>0.861655585943892</v>
      </c>
      <c r="D12" s="0" t="n">
        <f aca="false">1/POWER(1+WACC!$B$8,D$1)</f>
        <v>0.79983528949368</v>
      </c>
      <c r="E12" s="0" t="n">
        <f aca="false">1/POWER(1+WACC!$B$8,E$1)</f>
        <v>0.742450348788311</v>
      </c>
      <c r="F12" s="0" t="n">
        <f aca="false">1/POWER(1+WACC!$B$8,F$1)</f>
        <v>0.689182545027279</v>
      </c>
      <c r="G12" s="0" t="n">
        <f aca="false">1/POWER(1+WACC!$B$8,G$1)</f>
        <v>0.639736490319439</v>
      </c>
      <c r="H12" s="0" t="n">
        <f aca="false">1/POWER(1+WACC!$B$8,H$1)</f>
        <v>0.593837989657783</v>
      </c>
      <c r="I12" s="0" t="n">
        <f aca="false">1/POWER(1+WACC!$B$8,I$1)</f>
        <v>0.551232520415885</v>
      </c>
      <c r="J12" s="0" t="n">
        <f aca="false">1/POWER(1+WACC!$B$8,J$1)</f>
        <v>0.511683820934319</v>
      </c>
      <c r="K12" s="0" t="n">
        <f aca="false">1/POWER(1+WACC!$B$8,K$1)</f>
        <v>0.474972580370278</v>
      </c>
    </row>
    <row r="13" customFormat="false" ht="15" hidden="false" customHeight="false" outlineLevel="0" collapsed="false">
      <c r="A13" s="0" t="s">
        <v>100</v>
      </c>
      <c r="B13" s="0" t="n">
        <f aca="false">B11*B12</f>
        <v>3599.99623198185</v>
      </c>
      <c r="C13" s="0" t="n">
        <f aca="false">C11*C12</f>
        <v>3167.5002583446</v>
      </c>
      <c r="D13" s="0" t="n">
        <f aca="false">D11*D12</f>
        <v>2811.23192655237</v>
      </c>
      <c r="E13" s="0" t="n">
        <f aca="false">E11*E12</f>
        <v>2516.573733436</v>
      </c>
      <c r="F13" s="0" t="n">
        <f aca="false">F11*F12</f>
        <v>2272.08053939453</v>
      </c>
      <c r="G13" s="0" t="n">
        <f aca="false">G11*G12</f>
        <v>2068.7476457434</v>
      </c>
      <c r="H13" s="0" t="n">
        <f aca="false">H11*H12</f>
        <v>1899.4603065373</v>
      </c>
      <c r="I13" s="0" t="n">
        <f aca="false">I11*I12</f>
        <v>1758.5775675269</v>
      </c>
      <c r="J13" s="0" t="n">
        <f aca="false">J11*J12</f>
        <v>1641.61618976875</v>
      </c>
      <c r="K13" s="0" t="n">
        <f aca="false">K11*K12</f>
        <v>1545.00963546207</v>
      </c>
    </row>
    <row r="15" customFormat="false" ht="15" hidden="false" customHeight="false" outlineLevel="0" collapsed="false">
      <c r="A15" s="0" t="s">
        <v>101</v>
      </c>
      <c r="B15" s="0" t="n">
        <f aca="false">SUM(B13:K13)</f>
        <v>23280.7940347478</v>
      </c>
    </row>
    <row r="16" customFormat="false" ht="15" hidden="false" customHeight="false" outlineLevel="0" collapsed="false">
      <c r="A16" s="0" t="s">
        <v>102</v>
      </c>
      <c r="B16" s="0" t="n">
        <f aca="false">K11*(1+Assumptions!$B$6)/(WACC!$B$8-Assumptions!$B$6)</f>
        <v>63761.3073717524</v>
      </c>
    </row>
    <row r="17" customFormat="false" ht="15" hidden="false" customHeight="false" outlineLevel="0" collapsed="false">
      <c r="A17" s="0" t="s">
        <v>103</v>
      </c>
      <c r="B17" s="0" t="n">
        <f aca="false">B16*K12</f>
        <v>30284.8726901436</v>
      </c>
    </row>
    <row r="18" customFormat="false" ht="15" hidden="false" customHeight="false" outlineLevel="0" collapsed="false">
      <c r="A18" s="0" t="s">
        <v>104</v>
      </c>
      <c r="B18" s="0" t="n">
        <f aca="false">B15+B17</f>
        <v>53565.6667248914</v>
      </c>
    </row>
    <row r="19" customFormat="false" ht="15" hidden="false" customHeight="false" outlineLevel="0" collapsed="false">
      <c r="A19" s="0" t="s">
        <v>105</v>
      </c>
      <c r="B19" s="0" t="n">
        <f aca="false">INDEX(Inputs!$B:$B,MATCH("cash|FY0",Inputs!$A:$A,0))+INDEX(Inputs!$B:$B,MATCH("short_term_investments|FY0",Inputs!$A:$A,0))</f>
        <v>9027</v>
      </c>
    </row>
    <row r="20" customFormat="false" ht="15" hidden="false" customHeight="false" outlineLevel="0" collapsed="false">
      <c r="A20" s="0" t="s">
        <v>90</v>
      </c>
      <c r="B20" s="0" t="n">
        <f aca="false">INDEX(Inputs!$B:$B,MATCH("notes_payable|FY0",Inputs!$A:$A,0))+INDEX(Inputs!$B:$B,MATCH("current_ltd|FY0",Inputs!$A:$A,0))+INDEX(Inputs!$B:$B,MATCH("long_term_debt|FY0",Inputs!$A:$A,0))</f>
        <v>7942</v>
      </c>
    </row>
    <row r="21" customFormat="false" ht="15" hidden="false" customHeight="false" outlineLevel="0" collapsed="false">
      <c r="A21" s="0" t="s">
        <v>106</v>
      </c>
      <c r="B21" s="0" t="n">
        <f aca="false">B18+B19-B20</f>
        <v>54650.6667248914</v>
      </c>
    </row>
    <row r="22" customFormat="false" ht="15" hidden="false" customHeight="false" outlineLevel="0" collapsed="false">
      <c r="A22" s="0" t="s">
        <v>107</v>
      </c>
      <c r="B22" s="0" t="n">
        <f aca="false">INDEX(Inputs!$B:$B,MATCH("diluted_shares|YTD_CUR",Inputs!$A:$A,0))</f>
        <v>1484.2</v>
      </c>
    </row>
    <row r="23" customFormat="false" ht="15" hidden="false" customHeight="false" outlineLevel="0" collapsed="false">
      <c r="A23" s="0" t="s">
        <v>108</v>
      </c>
      <c r="B23" s="0" t="n">
        <f aca="false">B21/B22</f>
        <v>36.8216323439506</v>
      </c>
    </row>
    <row r="24" customFormat="false" ht="15" hidden="false" customHeight="false" outlineLevel="0" collapsed="false">
      <c r="A24" s="0" t="s">
        <v>109</v>
      </c>
      <c r="B24" s="0" t="n">
        <f aca="false">Assumptions!$B$8</f>
        <v>37.4</v>
      </c>
    </row>
    <row r="25" customFormat="false" ht="15" hidden="false" customHeight="false" outlineLevel="0" collapsed="false">
      <c r="A25" s="0" t="s">
        <v>110</v>
      </c>
      <c r="B25" s="0" t="n">
        <f aca="false">B23/B24-1</f>
        <v>-0.0154643758301992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2026-10-26T18:40:00Z</dcterms:created>
  <dc:creator>openpyxl</dc:creator>
  <dc:description/>
  <dc:language>en-US</dc:language>
  <cp:lastModifiedBy/>
  <dcterms:modified xsi:type="dcterms:W3CDTF">2026-10-26T18:40:00Z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